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mmet\Desktop\GIS\Lab-20260427\land cover\Bulgaria_2021_2023_unique_value\"/>
    </mc:Choice>
  </mc:AlternateContent>
  <xr:revisionPtr revIDLastSave="0" documentId="13_ncr:1_{4A551F2F-A252-4A7E-A34E-D3C231A2F57C}" xr6:coauthVersionLast="47" xr6:coauthVersionMax="47" xr10:uidLastSave="{00000000-0000-0000-0000-000000000000}"/>
  <bookViews>
    <workbookView xWindow="9960" yWindow="0" windowWidth="18840" windowHeight="1558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" i="1" l="1"/>
  <c r="I19" i="1"/>
  <c r="I18" i="1"/>
  <c r="I17" i="1"/>
  <c r="I16" i="1"/>
  <c r="I15" i="1"/>
  <c r="I14" i="1"/>
  <c r="F21" i="1"/>
  <c r="I13" i="1"/>
  <c r="F20" i="1"/>
  <c r="F19" i="1"/>
  <c r="F18" i="1"/>
  <c r="F17" i="1"/>
  <c r="F16" i="1"/>
  <c r="F15" i="1"/>
  <c r="F14" i="1"/>
  <c r="F13" i="1"/>
  <c r="F9" i="1"/>
  <c r="F10" i="1" s="1"/>
  <c r="I21" i="1" l="1"/>
</calcChain>
</file>

<file path=xl/sharedStrings.xml><?xml version="1.0" encoding="utf-8"?>
<sst xmlns="http://schemas.openxmlformats.org/spreadsheetml/2006/main" count="49" uniqueCount="37">
  <si>
    <t>Analyzed file: /home/wang/Desktop/GIS/lab/land cover/Land Cover Change Detection/Bulgaria_LCC_2021_2023.tif (band 1)</t>
  </si>
  <si>
    <t>Extent: 22.3451099999999983,41.2381799999999998 : 28.6034299999999995,44.2283499999999989</t>
  </si>
  <si>
    <t>Projection: EPSG:4326 - WGS 84</t>
  </si>
  <si>
    <t>Width in pixels: 62636 (units per pixel 9.99157e-05)</t>
  </si>
  <si>
    <t>Height in pixels: 29927 (units per pixel 9.99155e-05)</t>
  </si>
  <si>
    <t>Total pixel count: 1874507572</t>
  </si>
  <si>
    <t>NoData pixel count: 631488888</t>
  </si>
  <si>
    <t>Value</t>
  </si>
  <si>
    <t>Pixel count</t>
  </si>
  <si>
    <t>Area (deg2)</t>
  </si>
  <si>
    <t>sum=</t>
    <phoneticPr fontId="2" type="noConversion"/>
  </si>
  <si>
    <t>stability</t>
    <phoneticPr fontId="2" type="noConversion"/>
  </si>
  <si>
    <t>stability=</t>
    <phoneticPr fontId="2" type="noConversion"/>
  </si>
  <si>
    <t>source</t>
    <phoneticPr fontId="2" type="noConversion"/>
  </si>
  <si>
    <t>code1</t>
    <phoneticPr fontId="2" type="noConversion"/>
  </si>
  <si>
    <t>code4</t>
    <phoneticPr fontId="2" type="noConversion"/>
  </si>
  <si>
    <t>code5</t>
    <phoneticPr fontId="2" type="noConversion"/>
  </si>
  <si>
    <t>code7</t>
    <phoneticPr fontId="2" type="noConversion"/>
  </si>
  <si>
    <t>code8</t>
    <phoneticPr fontId="2" type="noConversion"/>
  </si>
  <si>
    <t>code9</t>
    <phoneticPr fontId="2" type="noConversion"/>
  </si>
  <si>
    <t>code11</t>
    <phoneticPr fontId="2" type="noConversion"/>
  </si>
  <si>
    <t>destination</t>
    <phoneticPr fontId="2" type="noConversion"/>
  </si>
  <si>
    <t>statistical table</t>
    <phoneticPr fontId="2" type="noConversion"/>
  </si>
  <si>
    <t>indicator</t>
    <phoneticPr fontId="2" type="noConversion"/>
  </si>
  <si>
    <t>value</t>
    <phoneticPr fontId="2" type="noConversion"/>
  </si>
  <si>
    <t>category</t>
    <phoneticPr fontId="2" type="noConversion"/>
  </si>
  <si>
    <t>stability(persistence)</t>
    <phoneticPr fontId="2" type="noConversion"/>
  </si>
  <si>
    <t>N/A (Baseline)</t>
    <phoneticPr fontId="2" type="noConversion"/>
  </si>
  <si>
    <t>Primary source of gain</t>
    <phoneticPr fontId="2" type="noConversion"/>
  </si>
  <si>
    <t>Secondary source of gain</t>
    <phoneticPr fontId="2" type="noConversion"/>
  </si>
  <si>
    <t>Third source of gain</t>
    <phoneticPr fontId="2" type="noConversion"/>
  </si>
  <si>
    <t>Primary source of destination</t>
    <phoneticPr fontId="2" type="noConversion"/>
  </si>
  <si>
    <t>Secondary source of destination</t>
    <phoneticPr fontId="2" type="noConversion"/>
  </si>
  <si>
    <t>Third source of destination</t>
    <phoneticPr fontId="2" type="noConversion"/>
  </si>
  <si>
    <t>Rangeland (code11)</t>
    <phoneticPr fontId="2" type="noConversion"/>
  </si>
  <si>
    <t>Crops (code5)</t>
    <phoneticPr fontId="2" type="noConversion"/>
  </si>
  <si>
    <t>Built (code7)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</si>
</sst>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11"/>
      <color theme="1"/>
      <name val="Noto Sans SC"/>
      <family val="2"/>
      <charset val="134"/>
    </font>
    <font>
      <sz val="9"/>
      <name val="等线"/>
      <family val="3"/>
      <charset val="134"/>
      <scheme val="minor"/>
    </font>
    <font>
      <sz val="11"/>
      <color rgb="FF000000"/>
      <name val="Noto Sans SC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 wrapText="1"/>
    </xf>
    <xf numFmtId="11" fontId="1" fillId="0" borderId="0" xfId="0" applyNumberFormat="1" applyFont="1" applyAlignment="1">
      <alignment vertical="center" wrapText="1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2" borderId="0" xfId="0" applyFill="1"/>
    <xf numFmtId="10" fontId="0" fillId="2" borderId="0" xfId="0" applyNumberFormat="1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3"/>
  <sheetViews>
    <sheetView tabSelected="1" topLeftCell="D1" workbookViewId="0">
      <selection activeCell="K26" sqref="K26"/>
    </sheetView>
  </sheetViews>
  <sheetFormatPr defaultRowHeight="14.25" x14ac:dyDescent="0.2"/>
  <cols>
    <col min="1" max="1" width="6.25" bestFit="1" customWidth="1"/>
    <col min="2" max="2" width="11.125" bestFit="1" customWidth="1"/>
    <col min="3" max="3" width="12.25" bestFit="1" customWidth="1"/>
    <col min="5" max="5" width="10.5" bestFit="1" customWidth="1"/>
    <col min="6" max="6" width="27" customWidth="1"/>
    <col min="8" max="8" width="10.625" customWidth="1"/>
    <col min="9" max="9" width="18.25" customWidth="1"/>
    <col min="11" max="11" width="29.5" bestFit="1" customWidth="1"/>
    <col min="12" max="12" width="11.5" customWidth="1"/>
    <col min="13" max="13" width="18.75" bestFit="1" customWidth="1"/>
  </cols>
  <sheetData>
    <row r="1" spans="1:13" ht="18" x14ac:dyDescent="0.2">
      <c r="A1" s="4" t="s">
        <v>0</v>
      </c>
      <c r="B1" s="4"/>
      <c r="C1" s="4"/>
      <c r="D1" s="4"/>
      <c r="E1" s="4"/>
      <c r="F1" s="4"/>
      <c r="G1" s="4"/>
      <c r="H1" s="4"/>
    </row>
    <row r="2" spans="1:13" ht="18" x14ac:dyDescent="0.2">
      <c r="A2" s="4" t="s">
        <v>1</v>
      </c>
      <c r="B2" s="4"/>
      <c r="C2" s="4"/>
      <c r="D2" s="4"/>
      <c r="E2" s="4"/>
      <c r="F2" s="4"/>
      <c r="G2" s="4"/>
      <c r="H2" s="4"/>
    </row>
    <row r="3" spans="1:13" ht="18" x14ac:dyDescent="0.2">
      <c r="A3" s="4" t="s">
        <v>2</v>
      </c>
      <c r="B3" s="4"/>
      <c r="C3" s="4"/>
      <c r="D3" s="4"/>
      <c r="E3" s="4"/>
      <c r="F3" s="4"/>
      <c r="G3" s="4"/>
      <c r="H3" s="4"/>
    </row>
    <row r="4" spans="1:13" ht="18" x14ac:dyDescent="0.2">
      <c r="A4" s="4" t="s">
        <v>3</v>
      </c>
      <c r="B4" s="4"/>
      <c r="C4" s="4"/>
      <c r="D4" s="4"/>
      <c r="E4" s="4"/>
      <c r="F4" s="4"/>
      <c r="G4" s="4"/>
      <c r="H4" s="4"/>
    </row>
    <row r="5" spans="1:13" ht="18" x14ac:dyDescent="0.2">
      <c r="A5" s="4" t="s">
        <v>4</v>
      </c>
      <c r="B5" s="4"/>
      <c r="C5" s="4"/>
      <c r="D5" s="4"/>
      <c r="E5" s="4"/>
      <c r="F5" s="4"/>
      <c r="G5" s="4"/>
      <c r="H5" s="4"/>
    </row>
    <row r="6" spans="1:13" ht="18" x14ac:dyDescent="0.2">
      <c r="A6" s="4" t="s">
        <v>5</v>
      </c>
      <c r="B6" s="4"/>
      <c r="C6" s="4"/>
      <c r="D6" s="4"/>
      <c r="E6" s="4"/>
      <c r="F6" s="4"/>
      <c r="G6" s="4"/>
      <c r="H6" s="4"/>
    </row>
    <row r="7" spans="1:13" ht="18" x14ac:dyDescent="0.2">
      <c r="A7" s="4" t="s">
        <v>6</v>
      </c>
      <c r="B7" s="4"/>
      <c r="C7" s="4"/>
      <c r="D7" s="4"/>
      <c r="E7" s="4"/>
      <c r="F7" s="4"/>
      <c r="G7" s="4"/>
      <c r="H7" s="4"/>
    </row>
    <row r="8" spans="1:13" ht="18" x14ac:dyDescent="0.2">
      <c r="A8" s="1" t="s">
        <v>7</v>
      </c>
      <c r="B8" s="1" t="s">
        <v>8</v>
      </c>
      <c r="C8" s="1" t="s">
        <v>9</v>
      </c>
      <c r="E8" s="3" t="s">
        <v>11</v>
      </c>
      <c r="F8" s="3"/>
    </row>
    <row r="9" spans="1:13" ht="18" x14ac:dyDescent="0.2">
      <c r="A9" s="1">
        <v>102</v>
      </c>
      <c r="B9" s="1">
        <v>288236</v>
      </c>
      <c r="C9" s="1">
        <v>2.8774956038191898E-3</v>
      </c>
      <c r="E9" t="s">
        <v>10</v>
      </c>
      <c r="F9">
        <f>SUM(B10:B17)</f>
        <v>527253426</v>
      </c>
    </row>
    <row r="10" spans="1:13" ht="18" x14ac:dyDescent="0.2">
      <c r="A10" s="1">
        <v>201</v>
      </c>
      <c r="B10" s="1">
        <v>173703</v>
      </c>
      <c r="C10" s="1">
        <v>1.7340985125737401E-3</v>
      </c>
      <c r="E10" t="s">
        <v>12</v>
      </c>
      <c r="F10">
        <f>B11*100/F9</f>
        <v>94.930986375420915</v>
      </c>
    </row>
    <row r="11" spans="1:13" ht="18" x14ac:dyDescent="0.2">
      <c r="A11" s="1">
        <v>202</v>
      </c>
      <c r="B11" s="1">
        <v>500526878</v>
      </c>
      <c r="C11" s="1">
        <v>4.9968216705697603</v>
      </c>
    </row>
    <row r="12" spans="1:13" ht="18" x14ac:dyDescent="0.2">
      <c r="A12" s="1">
        <v>204</v>
      </c>
      <c r="B12" s="1">
        <v>50773</v>
      </c>
      <c r="C12" s="1">
        <v>5.0687313275479796E-4</v>
      </c>
      <c r="E12" s="3" t="s">
        <v>13</v>
      </c>
      <c r="F12" s="3"/>
      <c r="H12" s="3" t="s">
        <v>21</v>
      </c>
      <c r="I12" s="3"/>
      <c r="K12" s="5" t="s">
        <v>22</v>
      </c>
      <c r="L12" s="5"/>
      <c r="M12" s="5"/>
    </row>
    <row r="13" spans="1:13" ht="18" x14ac:dyDescent="0.2">
      <c r="A13" s="1">
        <v>205</v>
      </c>
      <c r="B13" s="1">
        <v>3442142</v>
      </c>
      <c r="C13" s="1">
        <v>3.4363328913534101E-2</v>
      </c>
      <c r="E13" t="s">
        <v>10</v>
      </c>
      <c r="F13">
        <f>B9+SUM(B18:B23)</f>
        <v>19902098</v>
      </c>
      <c r="H13" t="s">
        <v>10</v>
      </c>
      <c r="I13">
        <f>SUM(B10,B12:B17)</f>
        <v>26726548</v>
      </c>
      <c r="K13" s="6" t="s">
        <v>23</v>
      </c>
      <c r="L13" s="6" t="s">
        <v>24</v>
      </c>
      <c r="M13" s="6" t="s">
        <v>25</v>
      </c>
    </row>
    <row r="14" spans="1:13" ht="18" x14ac:dyDescent="0.2">
      <c r="A14" s="1">
        <v>207</v>
      </c>
      <c r="B14" s="1">
        <v>491578</v>
      </c>
      <c r="C14" s="1">
        <v>4.9074839157295796E-3</v>
      </c>
      <c r="E14" t="s">
        <v>14</v>
      </c>
      <c r="F14">
        <f>B9*100/F13</f>
        <v>1.4482694236557372</v>
      </c>
      <c r="H14" t="s">
        <v>14</v>
      </c>
      <c r="I14">
        <f>B10*100/I13</f>
        <v>0.64992680685885806</v>
      </c>
      <c r="K14" s="6" t="s">
        <v>26</v>
      </c>
      <c r="L14" s="7">
        <v>0.94930000000000003</v>
      </c>
      <c r="M14" s="6" t="s">
        <v>27</v>
      </c>
    </row>
    <row r="15" spans="1:13" ht="18" x14ac:dyDescent="0.2">
      <c r="A15" s="1">
        <v>208</v>
      </c>
      <c r="B15" s="1">
        <v>502</v>
      </c>
      <c r="C15" s="2">
        <v>5.0115280295217699E-6</v>
      </c>
      <c r="E15" t="s">
        <v>15</v>
      </c>
      <c r="F15">
        <f>B18*100/F13</f>
        <v>3.3021644250771955E-2</v>
      </c>
      <c r="H15" t="s">
        <v>15</v>
      </c>
      <c r="I15">
        <f>B12*100/I13</f>
        <v>0.18997215802055695</v>
      </c>
      <c r="K15" s="6" t="s">
        <v>28</v>
      </c>
      <c r="L15" s="7">
        <v>0.62160000000000004</v>
      </c>
      <c r="M15" s="6" t="s">
        <v>34</v>
      </c>
    </row>
    <row r="16" spans="1:13" ht="18" x14ac:dyDescent="0.2">
      <c r="A16" s="1">
        <v>209</v>
      </c>
      <c r="B16" s="1">
        <v>22620</v>
      </c>
      <c r="C16" s="1">
        <v>2.2581825503542301E-4</v>
      </c>
      <c r="E16" t="s">
        <v>16</v>
      </c>
      <c r="F16">
        <f>B19*100/F13</f>
        <v>32.953440386033677</v>
      </c>
      <c r="H16" t="s">
        <v>16</v>
      </c>
      <c r="I16">
        <f>B13*100/I13</f>
        <v>12.87911181047399</v>
      </c>
      <c r="K16" s="6" t="s">
        <v>29</v>
      </c>
      <c r="L16" s="7">
        <v>0.32950000000000002</v>
      </c>
      <c r="M16" s="6" t="s">
        <v>35</v>
      </c>
    </row>
    <row r="17" spans="1:13" ht="18" x14ac:dyDescent="0.2">
      <c r="A17" s="1">
        <v>211</v>
      </c>
      <c r="B17" s="1">
        <v>22545230</v>
      </c>
      <c r="C17" s="1">
        <v>0.22507181688648401</v>
      </c>
      <c r="E17" t="s">
        <v>17</v>
      </c>
      <c r="F17">
        <f>B20*100/F13</f>
        <v>3.3287545865767521</v>
      </c>
      <c r="H17" t="s">
        <v>17</v>
      </c>
      <c r="I17">
        <f>B14*100/I13</f>
        <v>1.8392872884294673</v>
      </c>
      <c r="K17" s="6" t="s">
        <v>30</v>
      </c>
      <c r="L17" s="7">
        <v>3.3300000000000003E-2</v>
      </c>
      <c r="M17" s="6" t="s">
        <v>36</v>
      </c>
    </row>
    <row r="18" spans="1:13" ht="18" x14ac:dyDescent="0.2">
      <c r="A18" s="1">
        <v>402</v>
      </c>
      <c r="B18" s="1">
        <v>6572</v>
      </c>
      <c r="C18" s="2">
        <v>6.5609088067763004E-5</v>
      </c>
      <c r="E18" t="s">
        <v>18</v>
      </c>
      <c r="F18">
        <f>B21*100/F13</f>
        <v>3.9443077810188652E-3</v>
      </c>
      <c r="H18" t="s">
        <v>18</v>
      </c>
      <c r="I18">
        <f>B15*100/I13</f>
        <v>1.8782822233533488E-3</v>
      </c>
      <c r="K18" s="6" t="s">
        <v>31</v>
      </c>
      <c r="L18" s="7">
        <v>0.84360000000000002</v>
      </c>
      <c r="M18" s="6" t="s">
        <v>34</v>
      </c>
    </row>
    <row r="19" spans="1:13" ht="18" x14ac:dyDescent="0.2">
      <c r="A19" s="1">
        <v>502</v>
      </c>
      <c r="B19" s="1">
        <v>6558426</v>
      </c>
      <c r="C19" s="1">
        <v>6.5473577148494694E-2</v>
      </c>
      <c r="E19" t="s">
        <v>19</v>
      </c>
      <c r="F19">
        <f>B22*100/F13</f>
        <v>7.4725790215684804E-2</v>
      </c>
      <c r="H19" t="s">
        <v>19</v>
      </c>
      <c r="I19">
        <f>B16*100/I13</f>
        <v>8.4634947992535361E-2</v>
      </c>
      <c r="K19" s="6" t="s">
        <v>32</v>
      </c>
      <c r="L19" s="7">
        <v>0.1288</v>
      </c>
      <c r="M19" s="6" t="s">
        <v>35</v>
      </c>
    </row>
    <row r="20" spans="1:13" ht="18" x14ac:dyDescent="0.2">
      <c r="A20" s="1">
        <v>702</v>
      </c>
      <c r="B20" s="1">
        <v>662492</v>
      </c>
      <c r="C20" s="1">
        <v>6.6137394966811402E-3</v>
      </c>
      <c r="E20" t="s">
        <v>20</v>
      </c>
      <c r="F20">
        <f>B23*100/F13</f>
        <v>62.157843861486363</v>
      </c>
      <c r="H20" t="s">
        <v>20</v>
      </c>
      <c r="I20">
        <f>B17*100/I13</f>
        <v>84.355188706001243</v>
      </c>
      <c r="K20" s="6" t="s">
        <v>33</v>
      </c>
      <c r="L20" s="7">
        <v>1.84E-2</v>
      </c>
      <c r="M20" s="6" t="s">
        <v>36</v>
      </c>
    </row>
    <row r="21" spans="1:13" ht="18" x14ac:dyDescent="0.2">
      <c r="A21" s="1">
        <v>802</v>
      </c>
      <c r="B21" s="1">
        <v>785</v>
      </c>
      <c r="C21" s="2">
        <v>7.8367519983557494E-6</v>
      </c>
      <c r="F21">
        <f>SUM(F14:F20)</f>
        <v>100</v>
      </c>
      <c r="I21">
        <f>SUM(I14:I20)</f>
        <v>100</v>
      </c>
    </row>
    <row r="22" spans="1:13" ht="18" x14ac:dyDescent="0.2">
      <c r="A22" s="1">
        <v>902</v>
      </c>
      <c r="B22" s="1">
        <v>14872</v>
      </c>
      <c r="C22" s="1">
        <v>1.48469013655473E-4</v>
      </c>
    </row>
    <row r="23" spans="1:13" ht="18" x14ac:dyDescent="0.2">
      <c r="A23" s="1">
        <v>1102</v>
      </c>
      <c r="B23" s="1">
        <v>12370715</v>
      </c>
      <c r="C23" s="1">
        <v>0.12349837642973099</v>
      </c>
    </row>
  </sheetData>
  <mergeCells count="11">
    <mergeCell ref="K12:M12"/>
    <mergeCell ref="E8:F8"/>
    <mergeCell ref="E12:F12"/>
    <mergeCell ref="H12:I12"/>
    <mergeCell ref="A1:H1"/>
    <mergeCell ref="A2:H2"/>
    <mergeCell ref="A3:H3"/>
    <mergeCell ref="A4:H4"/>
    <mergeCell ref="A5:H5"/>
    <mergeCell ref="A6:H6"/>
    <mergeCell ref="A7:H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Alessandro Emmett</dc:creator>
  <cp:lastModifiedBy>Shuhuai Wang</cp:lastModifiedBy>
  <dcterms:created xsi:type="dcterms:W3CDTF">2015-06-05T18:19:34Z</dcterms:created>
  <dcterms:modified xsi:type="dcterms:W3CDTF">2026-05-18T09:39:25Z</dcterms:modified>
</cp:coreProperties>
</file>